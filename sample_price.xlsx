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05"/>
  </bookViews>
  <sheets>
    <sheet name="进出口中港运输-招标路线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<sst xmlns="http://schemas.openxmlformats.org/spreadsheetml/2006/main" count="87" uniqueCount="57">
  <si>
    <t>福永中港运输标的-2024年(货币：港币)</t>
  </si>
  <si>
    <t>标的</t>
  </si>
  <si>
    <t>起点</t>
  </si>
  <si>
    <t>终点</t>
  </si>
  <si>
    <t>车型</t>
  </si>
  <si>
    <t>预估年度
运输趟数</t>
  </si>
  <si>
    <t>HK本地送货票数/车</t>
  </si>
  <si>
    <t>卡板数/车</t>
  </si>
  <si>
    <t>单位</t>
  </si>
  <si>
    <t>中港运输费</t>
  </si>
  <si>
    <t>HK进出口清关</t>
  </si>
  <si>
    <t>香港本地送货费/票
（只含运输费）</t>
  </si>
  <si>
    <t>装卸货费/板</t>
  </si>
  <si>
    <t>机场费/票</t>
  </si>
  <si>
    <t>总价</t>
  </si>
  <si>
    <t>中港运输
（有场所码）</t>
  </si>
  <si>
    <t>福永</t>
  </si>
  <si>
    <t>香港</t>
  </si>
  <si>
    <t>3T</t>
  </si>
  <si>
    <t>趟</t>
  </si>
  <si>
    <t>5T</t>
  </si>
  <si>
    <t>8T</t>
  </si>
  <si>
    <t>10T</t>
  </si>
  <si>
    <t>12T</t>
  </si>
  <si>
    <t>20HQ</t>
  </si>
  <si>
    <t>40HQ/45HQ</t>
  </si>
  <si>
    <t>1.固定单价的收费项目：</t>
  </si>
  <si>
    <t>序号</t>
  </si>
  <si>
    <t>项目</t>
  </si>
  <si>
    <t>单价</t>
  </si>
  <si>
    <t>收费说明</t>
  </si>
  <si>
    <t>海关查验费:</t>
  </si>
  <si>
    <t>HKD500/车</t>
  </si>
  <si>
    <t>传真快递费：</t>
  </si>
  <si>
    <t>HKD30/票</t>
  </si>
  <si>
    <t>装卸费(箱)：</t>
  </si>
  <si>
    <t>HKD10/箱</t>
  </si>
  <si>
    <t>一路通：</t>
  </si>
  <si>
    <t>HKD30/车</t>
  </si>
  <si>
    <t>租柜费：</t>
  </si>
  <si>
    <t>HKD300/天</t>
  </si>
  <si>
    <t>交仓超时：</t>
  </si>
  <si>
    <t>HKD200/小时</t>
  </si>
  <si>
    <t>3小时后开始计算</t>
  </si>
  <si>
    <t>压车/夜费：</t>
  </si>
  <si>
    <t>运费的80%</t>
  </si>
  <si>
    <t>压夜到第二天上午12点前收取</t>
  </si>
  <si>
    <t>运费的100%</t>
  </si>
  <si>
    <t>压夜到第二天上午12点后收取</t>
  </si>
  <si>
    <t>紧急派送费</t>
  </si>
  <si>
    <t>HKD300/票</t>
  </si>
  <si>
    <t>当天派送</t>
  </si>
  <si>
    <t>2.动态收费项目：</t>
  </si>
  <si>
    <t>进仓费：</t>
  </si>
  <si>
    <t>实报实销</t>
  </si>
  <si>
    <t>凭发票</t>
  </si>
  <si>
    <t>停车费：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</si>
</sst>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0_ "/>
    <numFmt numFmtId="178" formatCode="_(* #,##0_);_(* \(#,##0\);_(* &quot;-&quot;??_);_(@_)"/>
  </numFmts>
  <fonts count="28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name val="等线"/>
      <charset val="134"/>
      <scheme val="minor"/>
    </font>
    <font>
      <b/>
      <sz val="10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0" borderId="0"/>
    <xf numFmtId="0" fontId="27" fillId="0" borderId="0">
      <alignment horizontal="right" vertical="top"/>
    </xf>
    <xf numFmtId="0" fontId="26" fillId="0" borderId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0" fillId="3" borderId="3" xfId="0" applyFont="1" applyFill="1" applyBorder="1" applyAlignment="1">
      <alignment vertical="center"/>
    </xf>
    <xf numFmtId="176" fontId="3" fillId="2" borderId="3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77" fontId="0" fillId="0" borderId="3" xfId="0" applyNumberFormat="1" applyBorder="1"/>
    <xf numFmtId="176" fontId="0" fillId="0" borderId="3" xfId="1" applyNumberFormat="1" applyFont="1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8" fontId="4" fillId="0" borderId="3" xfId="1" applyNumberFormat="1" applyFont="1" applyBorder="1" applyAlignment="1">
      <alignment horizontal="left" vertical="center"/>
    </xf>
    <xf numFmtId="177" fontId="0" fillId="4" borderId="3" xfId="0" applyNumberFormat="1" applyFill="1" applyBorder="1" applyAlignment="1">
      <alignment horizontal="right"/>
    </xf>
    <xf numFmtId="0" fontId="0" fillId="0" borderId="5" xfId="0" applyBorder="1"/>
    <xf numFmtId="1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76" fontId="3" fillId="5" borderId="3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3" xfId="49"/>
    <cellStyle name="Normal 2" xfId="50"/>
    <cellStyle name="S4" xfId="51"/>
    <cellStyle name="常规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O33"/>
  <sheetViews>
    <sheetView showGridLines="0" tabSelected="1" zoomScale="130" zoomScaleNormal="130" workbookViewId="0">
      <pane xSplit="6" ySplit="2" topLeftCell="J3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4.25"/>
  <cols>
    <col min="1" max="1" width="4.63333333333333" customWidth="1"/>
    <col min="2" max="2" width="14.6333333333333" customWidth="1"/>
    <col min="3" max="3" width="10.6333333333333" customWidth="1"/>
    <col min="4" max="4" width="11" customWidth="1"/>
    <col min="5" max="5" width="13.9416666666667" customWidth="1"/>
    <col min="6" max="6" width="14.3666666666667" customWidth="1"/>
    <col min="7" max="7" width="11.45" customWidth="1"/>
    <col min="8" max="8" width="10" customWidth="1"/>
    <col min="10" max="14" width="10.725" customWidth="1"/>
    <col min="15" max="15" width="13.45" customWidth="1"/>
  </cols>
  <sheetData>
    <row r="1" ht="31.5" customHeight="1" spans="2:1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28.5" spans="2:15">
      <c r="B2" s="4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5" t="s">
        <v>7</v>
      </c>
      <c r="I2" s="5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8" t="s">
        <v>14</v>
      </c>
    </row>
    <row r="3" spans="2:15">
      <c r="B3" s="9" t="s">
        <v>15</v>
      </c>
      <c r="C3" s="10" t="s">
        <v>16</v>
      </c>
      <c r="D3" s="10" t="s">
        <v>17</v>
      </c>
      <c r="E3" s="11" t="s">
        <v>18</v>
      </c>
      <c r="F3" s="12">
        <v>6</v>
      </c>
      <c r="G3" s="13">
        <v>1</v>
      </c>
      <c r="H3" s="11">
        <v>3</v>
      </c>
      <c r="I3" s="11" t="s">
        <v>19</v>
      </c>
      <c r="J3" s="14">
        <v>877</v>
      </c>
      <c r="K3" s="14">
        <v>79.7277905813802</v>
      </c>
      <c r="L3" s="14">
        <v>239.158585902509</v>
      </c>
      <c r="M3" s="14">
        <v>63.7756229073357</v>
      </c>
      <c r="N3" s="14">
        <v>239.158585902509</v>
      </c>
      <c r="O3" s="15">
        <v>9758.23098665043</v>
      </c>
    </row>
    <row r="4" spans="2:15">
      <c r="B4" s="16"/>
      <c r="C4" s="17"/>
      <c r="D4" s="17"/>
      <c r="E4" s="11" t="s">
        <v>20</v>
      </c>
      <c r="F4" s="12">
        <v>6</v>
      </c>
      <c r="G4" s="13">
        <v>2</v>
      </c>
      <c r="H4" s="11">
        <v>5</v>
      </c>
      <c r="I4" s="11" t="s">
        <v>19</v>
      </c>
      <c r="J4" s="14">
        <v>1116.07340087838</v>
      </c>
      <c r="K4" s="14">
        <v>79.7277905813802</v>
      </c>
      <c r="L4" s="14">
        <v>239.158585902509</v>
      </c>
      <c r="M4" s="14">
        <v>63.7756229073357</v>
      </c>
      <c r="N4" s="14">
        <v>239.158585902509</v>
      </c>
      <c r="O4" s="15">
        <v>13392.9303822238</v>
      </c>
    </row>
    <row r="5" spans="2:15">
      <c r="B5" s="16"/>
      <c r="C5" s="17"/>
      <c r="D5" s="17"/>
      <c r="E5" s="11" t="s">
        <v>21</v>
      </c>
      <c r="F5" s="12">
        <v>6</v>
      </c>
      <c r="G5" s="13">
        <v>3</v>
      </c>
      <c r="H5" s="11">
        <v>8</v>
      </c>
      <c r="I5" s="11" t="s">
        <v>19</v>
      </c>
      <c r="J5" s="14">
        <v>1156</v>
      </c>
      <c r="K5" s="14">
        <v>79.7277905813802</v>
      </c>
      <c r="L5" s="14">
        <v>239.158585902509</v>
      </c>
      <c r="M5" s="14">
        <v>63.7756229073357</v>
      </c>
      <c r="N5" s="14">
        <v>239.158585902509</v>
      </c>
      <c r="O5" s="15">
        <v>16215.4027047006</v>
      </c>
    </row>
    <row r="6" spans="2:15">
      <c r="B6" s="16"/>
      <c r="C6" s="17"/>
      <c r="D6" s="17"/>
      <c r="E6" s="11" t="s">
        <v>22</v>
      </c>
      <c r="F6" s="12">
        <v>6</v>
      </c>
      <c r="G6" s="13">
        <v>4</v>
      </c>
      <c r="H6" s="11">
        <v>10</v>
      </c>
      <c r="I6" s="11" t="s">
        <v>19</v>
      </c>
      <c r="J6" s="14">
        <v>1276</v>
      </c>
      <c r="K6" s="14">
        <v>79.7277905813802</v>
      </c>
      <c r="L6" s="14">
        <v>239.158585902509</v>
      </c>
      <c r="M6" s="14">
        <v>63.7756229073357</v>
      </c>
      <c r="N6" s="14">
        <v>239.158585902509</v>
      </c>
      <c r="O6" s="15">
        <v>19135.6616950037</v>
      </c>
    </row>
    <row r="7" spans="2:15">
      <c r="B7" s="16"/>
      <c r="C7" s="17"/>
      <c r="D7" s="17"/>
      <c r="E7" s="11" t="s">
        <v>23</v>
      </c>
      <c r="F7" s="12">
        <f>2*12</f>
        <v>24</v>
      </c>
      <c r="G7" s="13">
        <v>5</v>
      </c>
      <c r="H7" s="11">
        <v>12</v>
      </c>
      <c r="I7" s="11" t="s">
        <v>19</v>
      </c>
      <c r="J7" s="14">
        <v>1355.23198678088</v>
      </c>
      <c r="K7" s="14">
        <v>79.7277905813802</v>
      </c>
      <c r="L7" s="14">
        <v>239.158585902509</v>
      </c>
      <c r="M7" s="14">
        <v>63.7756229073357</v>
      </c>
      <c r="N7" s="14">
        <v>239.158585902509</v>
      </c>
      <c r="O7" s="15">
        <v>87245.2504239683</v>
      </c>
    </row>
    <row r="8" spans="2:15">
      <c r="B8" s="16"/>
      <c r="C8" s="17"/>
      <c r="D8" s="17"/>
      <c r="E8" s="11" t="s">
        <v>24</v>
      </c>
      <c r="F8" s="12">
        <v>12</v>
      </c>
      <c r="G8" s="13">
        <v>0</v>
      </c>
      <c r="H8" s="11">
        <v>10</v>
      </c>
      <c r="I8" s="11" t="s">
        <v>19</v>
      </c>
      <c r="J8" s="14">
        <v>1594.39057268339</v>
      </c>
      <c r="K8" s="14">
        <v>79.7277905813802</v>
      </c>
      <c r="L8" s="14">
        <v>239.158585902509</v>
      </c>
      <c r="M8" s="14">
        <v>63.7756229073357</v>
      </c>
      <c r="N8" s="14">
        <v>239.158585902509</v>
      </c>
      <c r="O8" s="15">
        <v>30612.3981388877</v>
      </c>
    </row>
    <row r="9" spans="2:15">
      <c r="B9" s="16"/>
      <c r="C9" s="18"/>
      <c r="D9" s="18"/>
      <c r="E9" s="11" t="s">
        <v>25</v>
      </c>
      <c r="F9" s="12">
        <f>(4+4)*12</f>
        <v>96</v>
      </c>
      <c r="G9" s="13">
        <v>5</v>
      </c>
      <c r="H9" s="11">
        <v>20</v>
      </c>
      <c r="I9" s="11" t="s">
        <v>19</v>
      </c>
      <c r="J9" s="14">
        <v>1674.11010131756</v>
      </c>
      <c r="K9" s="14">
        <v>79.7277905813802</v>
      </c>
      <c r="L9" s="14">
        <v>239.158585902509</v>
      </c>
      <c r="M9" s="14">
        <v>63.7756229073357</v>
      </c>
      <c r="N9" s="14">
        <v>239.158585902509</v>
      </c>
      <c r="O9" s="15">
        <v>428572.979084228</v>
      </c>
    </row>
    <row r="10" ht="15.75" spans="2:15">
      <c r="B10" s="9" t="s">
        <v>15</v>
      </c>
      <c r="C10" s="10" t="s">
        <v>17</v>
      </c>
      <c r="D10" s="10" t="s">
        <v>16</v>
      </c>
      <c r="E10" s="11" t="s">
        <v>18</v>
      </c>
      <c r="F10" s="19">
        <v>3</v>
      </c>
      <c r="G10" s="13"/>
      <c r="H10" s="11">
        <v>3</v>
      </c>
      <c r="I10" s="11" t="s">
        <v>19</v>
      </c>
      <c r="J10" s="14">
        <v>877</v>
      </c>
      <c r="K10" s="14">
        <v>79.7277905813802</v>
      </c>
      <c r="L10" s="20"/>
      <c r="M10" s="20"/>
      <c r="N10" s="20"/>
      <c r="O10" s="15">
        <v>2870.18337174414</v>
      </c>
    </row>
    <row r="11" ht="15.75" spans="2:15">
      <c r="B11" s="16"/>
      <c r="C11" s="17"/>
      <c r="D11" s="17"/>
      <c r="E11" s="11" t="s">
        <v>20</v>
      </c>
      <c r="F11" s="19">
        <v>3</v>
      </c>
      <c r="G11" s="13"/>
      <c r="H11" s="11">
        <v>5</v>
      </c>
      <c r="I11" s="11" t="s">
        <v>19</v>
      </c>
      <c r="J11" s="14">
        <v>1116.07340087838</v>
      </c>
      <c r="K11" s="14">
        <v>79.7277905813802</v>
      </c>
      <c r="L11" s="20"/>
      <c r="M11" s="20"/>
      <c r="N11" s="20"/>
      <c r="O11" s="15">
        <v>3587.40357437927</v>
      </c>
    </row>
    <row r="12" ht="15.75" spans="2:15">
      <c r="B12" s="16"/>
      <c r="C12" s="17"/>
      <c r="D12" s="17"/>
      <c r="E12" s="11" t="s">
        <v>21</v>
      </c>
      <c r="F12" s="19">
        <v>6</v>
      </c>
      <c r="G12" s="13"/>
      <c r="H12" s="11">
        <v>8</v>
      </c>
      <c r="I12" s="11" t="s">
        <v>19</v>
      </c>
      <c r="J12" s="14">
        <v>1156</v>
      </c>
      <c r="K12" s="14">
        <v>79.7277905813802</v>
      </c>
      <c r="L12" s="20"/>
      <c r="M12" s="20"/>
      <c r="N12" s="20"/>
      <c r="O12" s="15">
        <v>7414.36674348828</v>
      </c>
    </row>
    <row r="13" ht="15.75" spans="2:15">
      <c r="B13" s="16"/>
      <c r="C13" s="17"/>
      <c r="D13" s="17"/>
      <c r="E13" s="11" t="s">
        <v>22</v>
      </c>
      <c r="F13" s="19">
        <f>2*12</f>
        <v>24</v>
      </c>
      <c r="G13" s="13"/>
      <c r="H13" s="11">
        <v>10</v>
      </c>
      <c r="I13" s="11" t="s">
        <v>19</v>
      </c>
      <c r="J13" s="14">
        <v>1276</v>
      </c>
      <c r="K13" s="14">
        <v>79.7277905813802</v>
      </c>
      <c r="L13" s="20"/>
      <c r="M13" s="20"/>
      <c r="N13" s="20"/>
      <c r="O13" s="15">
        <v>32537.4669739531</v>
      </c>
    </row>
    <row r="14" ht="15.75" spans="2:15">
      <c r="B14" s="16"/>
      <c r="C14" s="17"/>
      <c r="D14" s="17"/>
      <c r="E14" s="11" t="s">
        <v>23</v>
      </c>
      <c r="F14" s="19">
        <f>20*12</f>
        <v>240</v>
      </c>
      <c r="G14" s="13"/>
      <c r="H14" s="21">
        <v>12</v>
      </c>
      <c r="I14" s="11" t="s">
        <v>19</v>
      </c>
      <c r="J14" s="14">
        <v>1355.23198678088</v>
      </c>
      <c r="K14" s="14">
        <v>79.7277905813802</v>
      </c>
      <c r="L14" s="20"/>
      <c r="M14" s="20"/>
      <c r="N14" s="20"/>
      <c r="O14" s="15">
        <v>344390.346566943</v>
      </c>
    </row>
    <row r="15" ht="15.75" spans="2:15">
      <c r="B15" s="16"/>
      <c r="C15" s="17"/>
      <c r="D15" s="17"/>
      <c r="E15" s="11" t="s">
        <v>24</v>
      </c>
      <c r="F15" s="19">
        <v>12</v>
      </c>
      <c r="G15" s="13"/>
      <c r="H15" s="11">
        <v>12</v>
      </c>
      <c r="I15" s="11" t="s">
        <v>19</v>
      </c>
      <c r="J15" s="14">
        <v>1594.39057268339</v>
      </c>
      <c r="K15" s="14">
        <v>79.7277905813802</v>
      </c>
      <c r="L15" s="20"/>
      <c r="M15" s="20"/>
      <c r="N15" s="20"/>
      <c r="O15" s="15">
        <v>20089.4203591773</v>
      </c>
    </row>
    <row r="16" spans="2:15">
      <c r="B16" s="16"/>
      <c r="C16" s="18"/>
      <c r="D16" s="18"/>
      <c r="E16" s="11" t="s">
        <v>25</v>
      </c>
      <c r="F16" s="22">
        <f>4*12</f>
        <v>48</v>
      </c>
      <c r="G16" s="13"/>
      <c r="H16" s="11">
        <v>20</v>
      </c>
      <c r="I16" s="11" t="s">
        <v>19</v>
      </c>
      <c r="J16" s="14">
        <v>1674.11010131756</v>
      </c>
      <c r="K16" s="14">
        <v>79.7277905813802</v>
      </c>
      <c r="L16" s="20"/>
      <c r="M16" s="20"/>
      <c r="N16" s="20"/>
      <c r="O16" s="15">
        <v>84184.2188111493</v>
      </c>
    </row>
    <row r="17" ht="15.5" customHeight="1" spans="2:15">
      <c r="B17" s="23"/>
      <c r="C17" s="23"/>
      <c r="D17" s="23"/>
      <c r="F17" s="24"/>
      <c r="G17" s="24"/>
      <c r="H17" s="24"/>
      <c r="J17" s="1"/>
      <c r="K17" s="1"/>
      <c r="L17" s="1"/>
      <c r="M17" s="1"/>
      <c r="N17" s="1"/>
      <c r="O17" s="25">
        <f>SUM(O3:O16)</f>
        <v>1100006.2598165</v>
      </c>
    </row>
    <row r="19" s="1" customFormat="1" ht="16" customHeight="1" spans="2:15">
      <c r="B19" s="26" t="s">
        <v>26</v>
      </c>
      <c r="C19" s="26"/>
      <c r="D19" s="26"/>
      <c r="E19" s="26"/>
      <c r="F19" s="26"/>
      <c r="G19" s="27"/>
    </row>
    <row r="20" s="1" customFormat="1" ht="16" customHeight="1" spans="2:15">
      <c r="B20" s="28" t="s">
        <v>27</v>
      </c>
      <c r="C20" s="29" t="s">
        <v>28</v>
      </c>
      <c r="D20" s="29" t="s">
        <v>29</v>
      </c>
      <c r="E20" s="28" t="s">
        <v>30</v>
      </c>
      <c r="F20" s="28"/>
      <c r="G20" s="28"/>
    </row>
    <row r="21" s="1" customFormat="1" ht="16" customHeight="1" spans="2:15">
      <c r="B21" s="30">
        <v>1</v>
      </c>
      <c r="C21" s="31" t="s">
        <v>31</v>
      </c>
      <c r="D21" s="32" t="s">
        <v>32</v>
      </c>
      <c r="E21" s="33"/>
      <c r="F21" s="33"/>
      <c r="G21" s="33"/>
      <c r="H21" s="34"/>
      <c r="I21" s="34"/>
    </row>
    <row r="22" s="1" customFormat="1" ht="16" customHeight="1" spans="2:15">
      <c r="B22" s="30">
        <v>2</v>
      </c>
      <c r="C22" s="31" t="s">
        <v>33</v>
      </c>
      <c r="D22" s="32" t="s">
        <v>34</v>
      </c>
      <c r="E22" s="33"/>
      <c r="F22" s="33"/>
      <c r="G22" s="33"/>
      <c r="H22" s="34"/>
      <c r="I22" s="34"/>
    </row>
    <row r="23" s="1" customFormat="1" ht="16" customHeight="1" spans="2:15">
      <c r="B23" s="30">
        <v>3</v>
      </c>
      <c r="C23" s="31" t="s">
        <v>35</v>
      </c>
      <c r="D23" s="32" t="s">
        <v>36</v>
      </c>
      <c r="E23" s="33"/>
      <c r="F23" s="33"/>
      <c r="G23" s="33"/>
      <c r="H23" s="34"/>
      <c r="I23" s="34"/>
    </row>
    <row r="24" s="1" customFormat="1" ht="16" customHeight="1" spans="2:15">
      <c r="B24" s="30">
        <v>4</v>
      </c>
      <c r="C24" s="31" t="s">
        <v>37</v>
      </c>
      <c r="D24" s="32" t="s">
        <v>38</v>
      </c>
      <c r="E24" s="33"/>
      <c r="F24" s="33"/>
      <c r="G24" s="33"/>
      <c r="H24" s="34"/>
      <c r="I24" s="34"/>
    </row>
    <row r="25" s="1" customFormat="1" ht="16" customHeight="1" spans="2:15">
      <c r="B25" s="30">
        <v>5</v>
      </c>
      <c r="C25" s="31" t="s">
        <v>39</v>
      </c>
      <c r="D25" s="31" t="s">
        <v>40</v>
      </c>
      <c r="E25" s="33"/>
      <c r="F25" s="33"/>
      <c r="G25" s="33"/>
      <c r="H25" s="34"/>
      <c r="I25" s="34"/>
    </row>
    <row r="26" s="1" customFormat="1" ht="16" customHeight="1" spans="2:15">
      <c r="B26" s="30">
        <v>6</v>
      </c>
      <c r="C26" s="31" t="s">
        <v>41</v>
      </c>
      <c r="D26" s="31" t="s">
        <v>42</v>
      </c>
      <c r="E26" s="33" t="s">
        <v>43</v>
      </c>
      <c r="F26" s="33"/>
      <c r="G26" s="33"/>
      <c r="H26" s="34"/>
    </row>
    <row r="27" s="1" customFormat="1" ht="16" customHeight="1" spans="2:15">
      <c r="B27" s="30">
        <v>7</v>
      </c>
      <c r="C27" s="31" t="s">
        <v>44</v>
      </c>
      <c r="D27" s="31" t="s">
        <v>45</v>
      </c>
      <c r="E27" s="33" t="s">
        <v>46</v>
      </c>
      <c r="F27" s="33"/>
      <c r="G27" s="33"/>
      <c r="H27" s="34"/>
      <c r="I27" s="34"/>
    </row>
    <row r="28" s="1" customFormat="1" ht="16" customHeight="1" spans="2:15">
      <c r="B28" s="30">
        <v>8</v>
      </c>
      <c r="C28" s="31" t="s">
        <v>44</v>
      </c>
      <c r="D28" s="31" t="s">
        <v>47</v>
      </c>
      <c r="E28" s="33" t="s">
        <v>48</v>
      </c>
      <c r="F28" s="33"/>
      <c r="G28" s="33"/>
      <c r="H28" s="34"/>
    </row>
    <row r="29" s="1" customFormat="1" ht="12.75" spans="2:15">
      <c r="B29" s="30">
        <v>9</v>
      </c>
      <c r="C29" s="31" t="s">
        <v>49</v>
      </c>
      <c r="D29" s="32" t="s">
        <v>50</v>
      </c>
      <c r="E29" s="33" t="s">
        <v>51</v>
      </c>
      <c r="F29" s="33"/>
      <c r="G29" s="33"/>
      <c r="H29" s="34"/>
    </row>
    <row r="30" s="1" customFormat="1" ht="16" customHeight="1" spans="2:15">
      <c r="B30" s="26" t="s">
        <v>52</v>
      </c>
      <c r="C30" s="26"/>
      <c r="D30" s="26"/>
      <c r="E30" s="26"/>
      <c r="F30" s="26"/>
      <c r="G30" s="27"/>
      <c r="H30" s="34"/>
    </row>
    <row r="31" s="1" customFormat="1" ht="16" customHeight="1" spans="2:15">
      <c r="B31" s="28" t="s">
        <v>27</v>
      </c>
      <c r="C31" s="29" t="s">
        <v>28</v>
      </c>
      <c r="D31" s="29" t="s">
        <v>29</v>
      </c>
      <c r="E31" s="28" t="s">
        <v>30</v>
      </c>
      <c r="F31" s="28"/>
      <c r="G31" s="28"/>
      <c r="H31" s="34"/>
    </row>
    <row r="32" s="1" customFormat="1" ht="16" customHeight="1" spans="2:15">
      <c r="B32" s="31"/>
      <c r="C32" s="31" t="s">
        <v>53</v>
      </c>
      <c r="D32" s="31" t="s">
        <v>54</v>
      </c>
      <c r="E32" s="33" t="s">
        <v>55</v>
      </c>
      <c r="F32" s="33"/>
      <c r="G32" s="33"/>
      <c r="H32" s="34"/>
    </row>
    <row r="33" spans="2:8">
      <c r="B33" s="11"/>
      <c r="C33" s="31" t="s">
        <v>56</v>
      </c>
      <c r="D33" s="31" t="s">
        <v>54</v>
      </c>
      <c r="E33" s="33" t="s">
        <v>55</v>
      </c>
      <c r="F33" s="33"/>
      <c r="G33" s="33"/>
      <c r="H33" s="34"/>
    </row>
  </sheetData>
  <mergeCells count="21">
    <mergeCell ref="B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B30:G30"/>
    <mergeCell ref="E31:G31"/>
    <mergeCell ref="E32:G32"/>
    <mergeCell ref="E33:G33"/>
    <mergeCell ref="B3:B9"/>
    <mergeCell ref="B10:B16"/>
    <mergeCell ref="C3:C9"/>
    <mergeCell ref="C10:C16"/>
    <mergeCell ref="D3:D9"/>
    <mergeCell ref="D10:D16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进出口中港运输-招标路线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Zhou</dc:creator>
  <cp:lastModifiedBy>Axeman</cp:lastModifiedBy>
  <dcterms:created xsi:type="dcterms:W3CDTF">2015-06-05T18:17:00Z</dcterms:created>
  <dcterms:modified xsi:type="dcterms:W3CDTF">2026-04-16T12:33:17Z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17019B6B817A4A66BAA9169EEE39CAC4_12</vt:lpwstr>
  </property>
  <property fmtid="{D5CDD505-2E9C-101B-9397-08002B2CF9AE}" pid="3" name="KSOProductBuildVer">
    <vt:lpwstr>2052-12.1.0.23542</vt:lpwstr>
  </property>
</Properties>
</file>